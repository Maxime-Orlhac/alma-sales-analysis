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OneDrive\Bureau\"/>
    </mc:Choice>
  </mc:AlternateContent>
  <xr:revisionPtr revIDLastSave="0" documentId="13_ncr:1_{E7500E6A-021C-4D1E-9516-48E4018F4C47}" xr6:coauthVersionLast="47" xr6:coauthVersionMax="47" xr10:uidLastSave="{00000000-0000-0000-0000-000000000000}"/>
  <workbookProtection workbookAlgorithmName="SHA-512" workbookHashValue="cOOFKYVgu4wjBY/gtYe9qzqEO7Oi6/YrqIGxMemQddUKgiFO9No1qkUOrpHpoj+CQ/DLSdWaazZrzLnVhnyk9w==" workbookSaltValue="RjDPVmbfezhboVfhlMz5qw==" workbookSpinCount="100000" lockStructure="1"/>
  <bookViews>
    <workbookView xWindow="-110" yWindow="-110" windowWidth="22780" windowHeight="14540" activeTab="1" xr2:uid="{5C036C9D-C70A-4381-9A4A-601131355275}"/>
  </bookViews>
  <sheets>
    <sheet name="Prep" sheetId="1" r:id="rId1"/>
    <sheet name="Dashboard" sheetId="2" r:id="rId2"/>
  </sheets>
  <definedNames>
    <definedName name="_xlnm.Print_Area" localSheetId="1">Dashboard!$A$1:$V$28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B10" i="1"/>
  <c r="N5" i="1"/>
  <c r="N4" i="1"/>
</calcChain>
</file>

<file path=xl/sharedStrings.xml><?xml version="1.0" encoding="utf-8"?>
<sst xmlns="http://schemas.openxmlformats.org/spreadsheetml/2006/main" count="54" uniqueCount="30">
  <si>
    <t>Chiffre d'affaire</t>
  </si>
  <si>
    <t>TOTAL</t>
  </si>
  <si>
    <t>REVENUE 2025:</t>
  </si>
  <si>
    <t>REVENUE 2024:</t>
  </si>
  <si>
    <t>Total Qty</t>
  </si>
  <si>
    <t>Total Revenue</t>
  </si>
  <si>
    <t>% of Total</t>
  </si>
  <si>
    <t>LOMO SALTADO</t>
  </si>
  <si>
    <t>PISCO SOUR</t>
  </si>
  <si>
    <t>CEVICHE CLÁSICO PEQUENO</t>
  </si>
  <si>
    <t>GUACAMOLE</t>
  </si>
  <si>
    <t>CALAMARES</t>
  </si>
  <si>
    <t>Product Name</t>
  </si>
  <si>
    <t>% of Total Revenue</t>
  </si>
  <si>
    <t xml:space="preserve">CEVICHE CLÁSICO </t>
  </si>
  <si>
    <t>Product</t>
  </si>
  <si>
    <t>Product Group</t>
  </si>
  <si>
    <t>Cuisine</t>
  </si>
  <si>
    <t>Bar</t>
  </si>
  <si>
    <t>Group</t>
  </si>
  <si>
    <t>Unique Item</t>
  </si>
  <si>
    <t>Kitchen</t>
  </si>
  <si>
    <t>Best</t>
  </si>
  <si>
    <t>Worst</t>
  </si>
  <si>
    <t>FRESCURA</t>
  </si>
  <si>
    <t>Pani puri salmon 3p.</t>
  </si>
  <si>
    <t>DIVERS VINS EVENT</t>
  </si>
  <si>
    <t>ESPUMA DE CHOCOLATE</t>
  </si>
  <si>
    <t>Entrecote, arroz cremoso</t>
  </si>
  <si>
    <t>Chahan rice, Tortilla vaga de gambas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</si>
</sst>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m"/>
    <numFmt numFmtId="170" formatCode="#,##0\ [$CHF]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Gotham Rounded Book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993366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6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168" fontId="6" fillId="3" borderId="0" xfId="0" applyNumberFormat="1" applyFont="1" applyFill="1"/>
    <xf numFmtId="1" fontId="0" fillId="0" borderId="0" xfId="0" applyNumberFormat="1"/>
    <xf numFmtId="170" fontId="5" fillId="0" borderId="0" xfId="2" applyNumberFormat="1" applyFont="1"/>
    <xf numFmtId="170" fontId="0" fillId="0" borderId="0" xfId="0" applyNumberFormat="1"/>
    <xf numFmtId="0" fontId="7" fillId="0" borderId="0" xfId="0" applyFont="1"/>
    <xf numFmtId="9" fontId="0" fillId="0" borderId="0" xfId="1" applyFont="1"/>
    <xf numFmtId="10" fontId="0" fillId="0" borderId="0" xfId="1" applyNumberFormat="1" applyFont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8" fillId="4" borderId="1" xfId="0" applyFont="1" applyFill="1" applyBorder="1" applyAlignment="1">
      <alignment horizontal="center"/>
    </xf>
    <xf numFmtId="3" fontId="0" fillId="0" borderId="0" xfId="0" applyNumberFormat="1"/>
    <xf numFmtId="0" fontId="2" fillId="5" borderId="0" xfId="0" applyFont="1" applyFill="1"/>
    <xf numFmtId="3" fontId="0" fillId="6" borderId="0" xfId="0" applyNumberFormat="1" applyFill="1"/>
    <xf numFmtId="170" fontId="0" fillId="6" borderId="0" xfId="0" applyNumberFormat="1" applyFill="1"/>
    <xf numFmtId="0" fontId="8" fillId="7" borderId="0" xfId="0" applyFont="1" applyFill="1"/>
    <xf numFmtId="0" fontId="9" fillId="8" borderId="0" xfId="0" applyFont="1" applyFill="1"/>
    <xf numFmtId="3" fontId="9" fillId="8" borderId="0" xfId="0" applyNumberFormat="1" applyFont="1" applyFill="1"/>
    <xf numFmtId="170" fontId="9" fillId="8" borderId="0" xfId="0" applyNumberFormat="1" applyFont="1" applyFill="1"/>
    <xf numFmtId="0" fontId="9" fillId="9" borderId="0" xfId="0" applyFont="1" applyFill="1"/>
    <xf numFmtId="3" fontId="9" fillId="9" borderId="0" xfId="0" applyNumberFormat="1" applyFont="1" applyFill="1"/>
    <xf numFmtId="170" fontId="9" fillId="9" borderId="0" xfId="0" applyNumberFormat="1" applyFont="1" applyFill="1"/>
  </cellXfs>
  <cellStyles count="3">
    <cellStyle name="Normal" xfId="0" builtinId="0"/>
    <cellStyle name="Normal 2" xfId="2" xr:uid="{FDFEEBBF-9C2E-4B94-88BC-AF74A3673F78}"/>
    <cellStyle name="Percent" xfId="1" builtinId="5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Monthly Revenue Trend (2024-2025)</a:t>
            </a:r>
          </a:p>
        </c:rich>
      </c:tx>
      <c:layout>
        <c:manualLayout>
          <c:xMode val="edge"/>
          <c:yMode val="edge"/>
          <c:x val="0.34435316264157612"/>
          <c:y val="6.08080868052197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052757181689405"/>
          <c:y val="0.10738254072028351"/>
          <c:w val="0.84507045985488494"/>
          <c:h val="0.78918001021684392"/>
        </c:manualLayout>
      </c:layout>
      <c:lineChart>
        <c:grouping val="standard"/>
        <c:varyColors val="0"/>
        <c:ser>
          <c:idx val="0"/>
          <c:order val="0"/>
          <c:tx>
            <c:strRef>
              <c:f>Prep!$A$4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lt1">
                  <a:shade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Prep!$B$3:$M$3</c:f>
              <c:numCache>
                <c:formatCode>mmm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Prep!$B$4:$M$4</c:f>
              <c:numCache>
                <c:formatCode>#\ ##0\ [$CHF]</c:formatCode>
                <c:ptCount val="12"/>
                <c:pt idx="0">
                  <c:v>183416.71</c:v>
                </c:pt>
                <c:pt idx="1">
                  <c:v>218425.37</c:v>
                </c:pt>
                <c:pt idx="2">
                  <c:v>206798.39</c:v>
                </c:pt>
                <c:pt idx="3">
                  <c:v>220888.46</c:v>
                </c:pt>
                <c:pt idx="4">
                  <c:v>234998.1</c:v>
                </c:pt>
                <c:pt idx="5">
                  <c:v>200826.09</c:v>
                </c:pt>
                <c:pt idx="6">
                  <c:v>181579.37</c:v>
                </c:pt>
                <c:pt idx="7">
                  <c:v>179336.66</c:v>
                </c:pt>
                <c:pt idx="8">
                  <c:v>182483.6</c:v>
                </c:pt>
                <c:pt idx="9">
                  <c:v>216249.56</c:v>
                </c:pt>
                <c:pt idx="10">
                  <c:v>215766.17</c:v>
                </c:pt>
                <c:pt idx="11">
                  <c:v>196170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E-4592-8910-3ACB2F2E0932}"/>
            </c:ext>
          </c:extLst>
        </c:ser>
        <c:ser>
          <c:idx val="1"/>
          <c:order val="1"/>
          <c:tx>
            <c:strRef>
              <c:f>Prep!$A$5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diamond"/>
              <c:size val="8"/>
              <c:spPr>
                <a:solidFill>
                  <a:srgbClr val="00B050"/>
                </a:solidFill>
                <a:ln w="15875">
                  <a:solidFill>
                    <a:schemeClr val="accent2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17E-4592-8910-3ACB2F2E0932}"/>
              </c:ext>
            </c:extLst>
          </c:dPt>
          <c:dPt>
            <c:idx val="7"/>
            <c:marker>
              <c:symbol val="diamond"/>
              <c:size val="8"/>
              <c:spPr>
                <a:solidFill>
                  <a:srgbClr val="C00000"/>
                </a:solidFill>
                <a:ln w="12700">
                  <a:solidFill>
                    <a:schemeClr val="accent2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17E-4592-8910-3ACB2F2E093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7E-4592-8910-3ACB2F2E09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7E-4592-8910-3ACB2F2E09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7E-4592-8910-3ACB2F2E09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7E-4592-8910-3ACB2F2E0932}"/>
                </c:ext>
              </c:extLst>
            </c:dLbl>
            <c:dLbl>
              <c:idx val="4"/>
              <c:layout>
                <c:manualLayout>
                  <c:x val="-7.6001599403066264E-2"/>
                  <c:y val="0.1264159874680933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/>
                      <a:t>214</a:t>
                    </a:r>
                    <a:r>
                      <a:rPr lang="en-US" sz="1000" b="1" baseline="0"/>
                      <a:t> K CHF</a:t>
                    </a:r>
                    <a:endParaRPr lang="en-US" sz="1000" b="1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17E-4592-8910-3ACB2F2E09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17E-4592-8910-3ACB2F2E09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7E-4592-8910-3ACB2F2E0932}"/>
                </c:ext>
              </c:extLst>
            </c:dLbl>
            <c:dLbl>
              <c:idx val="7"/>
              <c:layout>
                <c:manualLayout>
                  <c:x val="-5.3338715662002843E-2"/>
                  <c:y val="8.429232965623967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153</a:t>
                    </a:r>
                    <a:r>
                      <a:rPr lang="en-US" baseline="0"/>
                      <a:t> K CHF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17E-4592-8910-3ACB2F2E093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17E-4592-8910-3ACB2F2E093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17E-4592-8910-3ACB2F2E093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17E-4592-8910-3ACB2F2E093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17E-4592-8910-3ACB2F2E09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Prep!$B$3:$M$3</c:f>
              <c:numCache>
                <c:formatCode>mmm</c:formatCode>
                <c:ptCount val="12"/>
                <c:pt idx="0">
                  <c:v>1</c:v>
                </c:pt>
                <c:pt idx="1">
                  <c:v>32</c:v>
                </c:pt>
                <c:pt idx="2">
                  <c:v>61</c:v>
                </c:pt>
                <c:pt idx="3">
                  <c:v>92</c:v>
                </c:pt>
                <c:pt idx="4">
                  <c:v>122</c:v>
                </c:pt>
                <c:pt idx="5">
                  <c:v>153</c:v>
                </c:pt>
                <c:pt idx="6">
                  <c:v>183</c:v>
                </c:pt>
                <c:pt idx="7">
                  <c:v>214</c:v>
                </c:pt>
                <c:pt idx="8">
                  <c:v>245</c:v>
                </c:pt>
                <c:pt idx="9">
                  <c:v>275</c:v>
                </c:pt>
                <c:pt idx="10">
                  <c:v>306</c:v>
                </c:pt>
                <c:pt idx="11">
                  <c:v>336</c:v>
                </c:pt>
              </c:numCache>
            </c:numRef>
          </c:cat>
          <c:val>
            <c:numRef>
              <c:f>Prep!$B$5:$M$5</c:f>
              <c:numCache>
                <c:formatCode>#\ ##0\ [$CHF]</c:formatCode>
                <c:ptCount val="12"/>
                <c:pt idx="0">
                  <c:v>161668</c:v>
                </c:pt>
                <c:pt idx="1">
                  <c:v>199548</c:v>
                </c:pt>
                <c:pt idx="2">
                  <c:v>205438</c:v>
                </c:pt>
                <c:pt idx="3">
                  <c:v>202063</c:v>
                </c:pt>
                <c:pt idx="4">
                  <c:v>214452</c:v>
                </c:pt>
                <c:pt idx="5">
                  <c:v>164934</c:v>
                </c:pt>
                <c:pt idx="6">
                  <c:v>173722</c:v>
                </c:pt>
                <c:pt idx="7">
                  <c:v>152801</c:v>
                </c:pt>
                <c:pt idx="8">
                  <c:v>194110</c:v>
                </c:pt>
                <c:pt idx="9">
                  <c:v>199845</c:v>
                </c:pt>
                <c:pt idx="10">
                  <c:v>185973</c:v>
                </c:pt>
                <c:pt idx="11">
                  <c:v>196333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E-4592-8910-3ACB2F2E093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537888"/>
        <c:axId val="1520835344"/>
      </c:lineChart>
      <c:dateAx>
        <c:axId val="1749537888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0835344"/>
        <c:crosses val="autoZero"/>
        <c:auto val="1"/>
        <c:lblOffset val="100"/>
        <c:baseTimeUnit val="months"/>
      </c:dateAx>
      <c:valAx>
        <c:axId val="1520835344"/>
        <c:scaling>
          <c:orientation val="minMax"/>
          <c:max val="25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&quot;\ &quot;CHF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537888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291734197730953"/>
          <c:y val="0.57960220269429374"/>
          <c:w val="7.8125003985006686E-2"/>
          <c:h val="0.20522872937911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Prep!$M$11</c:f>
              <c:strCache>
                <c:ptCount val="1"/>
                <c:pt idx="0">
                  <c:v>%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9-4D6B-9B8F-ED5FB303537C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9-4D6B-9B8F-ED5FB303537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19BE41A-E99C-4C41-A9E1-28D1C99927E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39E47757-8417-4753-807E-2259BAB163B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7B9-4D6B-9B8F-ED5FB30353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B900B9-94E8-4CA7-949F-14F2C05BD37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 </a:t>
                    </a:r>
                    <a:fld id="{29B7247E-3D37-4AD4-A110-09463F828CD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7B9-4D6B-9B8F-ED5FB30353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Prep!$M$12:$M$13</c:f>
              <c:numCache>
                <c:formatCode>0%</c:formatCode>
                <c:ptCount val="2"/>
                <c:pt idx="0">
                  <c:v>0.59747180757133111</c:v>
                </c:pt>
                <c:pt idx="1">
                  <c:v>0.39820343820537207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Dashboard!$F$21:$F$22</c15:f>
                <c15:dlblRangeCache>
                  <c:ptCount val="2"/>
                  <c:pt idx="0">
                    <c:v>Kitchen</c:v>
                  </c:pt>
                  <c:pt idx="1">
                    <c:v>Bar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7B9-4D6B-9B8F-ED5FB303537C}"/>
            </c:ext>
          </c:extLst>
        </c:ser>
        <c:ser>
          <c:idx val="1"/>
          <c:order val="1"/>
          <c:tx>
            <c:strRef>
              <c:f>Prep!$I$12</c:f>
              <c:strCache>
                <c:ptCount val="1"/>
                <c:pt idx="0">
                  <c:v>Cuisine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7B9-4D6B-9B8F-ED5FB30353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Prep!$I$13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B9-4D6B-9B8F-ED5FB303537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0</xdr:row>
      <xdr:rowOff>144901</xdr:rowOff>
    </xdr:from>
    <xdr:to>
      <xdr:col>13</xdr:col>
      <xdr:colOff>38101</xdr:colOff>
      <xdr:row>4</xdr:row>
      <xdr:rowOff>69850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C6A16-E612-6C95-417C-2ADCCA96057F}"/>
            </a:ext>
          </a:extLst>
        </xdr:cNvPr>
        <xdr:cNvSpPr txBox="1"/>
      </xdr:nvSpPr>
      <xdr:spPr>
        <a:xfrm>
          <a:off x="584200" y="144901"/>
          <a:ext cx="9309101" cy="118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4400" b="1"/>
            <a:t>ALMA Sales Dashboard </a:t>
          </a:r>
          <a:r>
            <a:rPr lang="fr-FR" sz="4400" b="1">
              <a:solidFill>
                <a:schemeClr val="accent2">
                  <a:lumMod val="75000"/>
                </a:schemeClr>
              </a:solidFill>
            </a:rPr>
            <a:t>2025</a:t>
          </a:r>
        </a:p>
      </xdr:txBody>
    </xdr:sp>
    <xdr:clientData/>
  </xdr:twoCellAnchor>
  <xdr:twoCellAnchor editAs="absolute">
    <xdr:from>
      <xdr:col>4</xdr:col>
      <xdr:colOff>1</xdr:colOff>
      <xdr:row>3</xdr:row>
      <xdr:rowOff>172969</xdr:rowOff>
    </xdr:from>
    <xdr:to>
      <xdr:col>15</xdr:col>
      <xdr:colOff>5995</xdr:colOff>
      <xdr:row>13</xdr:row>
      <xdr:rowOff>77107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78F9931-6F33-9FCC-4EA3-62591FA6B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6</xdr:row>
      <xdr:rowOff>88900</xdr:rowOff>
    </xdr:from>
    <xdr:to>
      <xdr:col>4</xdr:col>
      <xdr:colOff>133350</xdr:colOff>
      <xdr:row>9</xdr:row>
      <xdr:rowOff>152399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65B746-A574-87D6-AF3B-077FEE97AD48}"/>
            </a:ext>
          </a:extLst>
        </xdr:cNvPr>
        <xdr:cNvSpPr txBox="1"/>
      </xdr:nvSpPr>
      <xdr:spPr>
        <a:xfrm>
          <a:off x="304800" y="1720850"/>
          <a:ext cx="2241550" cy="7175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3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2,25</a:t>
          </a:r>
          <a:r>
            <a:rPr lang="fr-FR" sz="3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 </a:t>
          </a:r>
          <a:r>
            <a:rPr lang="fr-FR" sz="3200" b="1">
              <a:effectLst/>
            </a:rPr>
            <a:t>CHF</a:t>
          </a:r>
          <a:endParaRPr lang="fr-FR" sz="3200" b="1"/>
        </a:p>
      </xdr:txBody>
    </xdr:sp>
    <xdr:clientData/>
  </xdr:twoCellAnchor>
  <xdr:twoCellAnchor>
    <xdr:from>
      <xdr:col>1</xdr:col>
      <xdr:colOff>334177</xdr:colOff>
      <xdr:row>9</xdr:row>
      <xdr:rowOff>101599</xdr:rowOff>
    </xdr:from>
    <xdr:to>
      <xdr:col>3</xdr:col>
      <xdr:colOff>298450</xdr:colOff>
      <xdr:row>13</xdr:row>
      <xdr:rowOff>10710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46D972-3B17-A776-55E8-6CDBE9582336}"/>
            </a:ext>
          </a:extLst>
        </xdr:cNvPr>
        <xdr:cNvSpPr txBox="1"/>
      </xdr:nvSpPr>
      <xdr:spPr>
        <a:xfrm>
          <a:off x="943777" y="2387599"/>
          <a:ext cx="1081873" cy="8870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/>
            <a:t>🔻</a:t>
          </a:r>
          <a:r>
            <a:rPr lang="fr-FR" sz="16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-7,63%</a:t>
          </a:r>
          <a:r>
            <a:rPr lang="fr-FR" sz="1600" b="1">
              <a:solidFill>
                <a:srgbClr val="C00000"/>
              </a:solidFill>
              <a:effectLst/>
            </a:rPr>
            <a:t> </a:t>
          </a:r>
        </a:p>
        <a:p>
          <a:pPr algn="ctr"/>
          <a:r>
            <a:rPr lang="fr-FR" sz="1200" b="1">
              <a:solidFill>
                <a:sysClr val="windowText" lastClr="000000"/>
              </a:solidFill>
              <a:effectLst/>
            </a:rPr>
            <a:t>vs</a:t>
          </a:r>
          <a:r>
            <a:rPr lang="fr-FR" sz="1200" b="1" baseline="0">
              <a:solidFill>
                <a:sysClr val="windowText" lastClr="000000"/>
              </a:solidFill>
              <a:effectLst/>
            </a:rPr>
            <a:t> </a:t>
          </a:r>
          <a:r>
            <a:rPr lang="fr-FR" sz="1200" b="1">
              <a:solidFill>
                <a:sysClr val="windowText" lastClr="000000"/>
              </a:solidFill>
              <a:effectLst/>
            </a:rPr>
            <a:t>2024</a:t>
          </a:r>
          <a:endParaRPr lang="fr-FR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479692</xdr:colOff>
      <xdr:row>9</xdr:row>
      <xdr:rowOff>86604</xdr:rowOff>
    </xdr:from>
    <xdr:to>
      <xdr:col>4</xdr:col>
      <xdr:colOff>66560</xdr:colOff>
      <xdr:row>9</xdr:row>
      <xdr:rowOff>86604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F6F0372-16AC-1E7E-CD50-C9ACBEBB475E}"/>
            </a:ext>
          </a:extLst>
        </xdr:cNvPr>
        <xdr:cNvCxnSpPr/>
      </xdr:nvCxnSpPr>
      <xdr:spPr>
        <a:xfrm>
          <a:off x="479692" y="2372604"/>
          <a:ext cx="1999868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5</xdr:row>
      <xdr:rowOff>12700</xdr:rowOff>
    </xdr:from>
    <xdr:to>
      <xdr:col>4</xdr:col>
      <xdr:colOff>69850</xdr:colOff>
      <xdr:row>6</xdr:row>
      <xdr:rowOff>158750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690AC7-76AD-D799-D98F-090C907EDF58}"/>
            </a:ext>
          </a:extLst>
        </xdr:cNvPr>
        <xdr:cNvSpPr txBox="1"/>
      </xdr:nvSpPr>
      <xdr:spPr>
        <a:xfrm>
          <a:off x="457200" y="933450"/>
          <a:ext cx="2025650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TOTAL REVENUE :</a:t>
          </a:r>
        </a:p>
      </xdr:txBody>
    </xdr:sp>
    <xdr:clientData/>
  </xdr:twoCellAnchor>
  <xdr:twoCellAnchor>
    <xdr:from>
      <xdr:col>14</xdr:col>
      <xdr:colOff>76200</xdr:colOff>
      <xdr:row>3</xdr:row>
      <xdr:rowOff>146050</xdr:rowOff>
    </xdr:from>
    <xdr:to>
      <xdr:col>21</xdr:col>
      <xdr:colOff>222250</xdr:colOff>
      <xdr:row>5</xdr:row>
      <xdr:rowOff>165100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4FCACD-B5DA-541F-667D-5C4D1C96DCEE}"/>
            </a:ext>
          </a:extLst>
        </xdr:cNvPr>
        <xdr:cNvSpPr txBox="1"/>
      </xdr:nvSpPr>
      <xdr:spPr>
        <a:xfrm>
          <a:off x="10198100" y="1225550"/>
          <a:ext cx="3016250" cy="387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TOP 5</a:t>
          </a:r>
          <a:r>
            <a:rPr lang="fr-FR" sz="1400" b="1" baseline="0"/>
            <a:t> BEST-SELLING PRODUCTS </a:t>
          </a:r>
          <a:r>
            <a:rPr lang="fr-FR" sz="1800" b="1">
              <a:solidFill>
                <a:schemeClr val="accent6">
                  <a:lumMod val="75000"/>
                </a:schemeClr>
              </a:solidFill>
            </a:rPr>
            <a:t>↑</a:t>
          </a:r>
          <a:endParaRPr lang="fr-FR" sz="14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257146</xdr:colOff>
      <xdr:row>15</xdr:row>
      <xdr:rowOff>139284</xdr:rowOff>
    </xdr:from>
    <xdr:to>
      <xdr:col>10</xdr:col>
      <xdr:colOff>608058</xdr:colOff>
      <xdr:row>18</xdr:row>
      <xdr:rowOff>31334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C764318-E8FF-7E06-F5B4-2D56CB8238DF}"/>
            </a:ext>
          </a:extLst>
        </xdr:cNvPr>
        <xdr:cNvSpPr txBox="1"/>
      </xdr:nvSpPr>
      <xdr:spPr>
        <a:xfrm>
          <a:off x="4654669" y="3005686"/>
          <a:ext cx="4273669" cy="4439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1"/>
            <a:t>REVENUE DISTRIBUTION BY PRODUCT GROUP :</a:t>
          </a:r>
        </a:p>
      </xdr:txBody>
    </xdr:sp>
    <xdr:clientData/>
  </xdr:twoCellAnchor>
  <xdr:twoCellAnchor>
    <xdr:from>
      <xdr:col>8</xdr:col>
      <xdr:colOff>1832301</xdr:colOff>
      <xdr:row>15</xdr:row>
      <xdr:rowOff>145753</xdr:rowOff>
    </xdr:from>
    <xdr:to>
      <xdr:col>14</xdr:col>
      <xdr:colOff>1958</xdr:colOff>
      <xdr:row>26</xdr:row>
      <xdr:rowOff>76081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FC590E54-FFE0-F821-3B78-D971B0BE1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1080094</xdr:colOff>
      <xdr:row>15</xdr:row>
      <xdr:rowOff>57438</xdr:rowOff>
    </xdr:from>
    <xdr:to>
      <xdr:col>12</xdr:col>
      <xdr:colOff>142430</xdr:colOff>
      <xdr:row>25</xdr:row>
      <xdr:rowOff>130561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209640A-D9D1-E750-0809-56B2331ADB49}"/>
            </a:ext>
          </a:extLst>
        </xdr:cNvPr>
        <xdr:cNvSpPr/>
      </xdr:nvSpPr>
      <xdr:spPr>
        <a:xfrm>
          <a:off x="3501402" y="2923840"/>
          <a:ext cx="6183832" cy="191284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476250</xdr:colOff>
      <xdr:row>12</xdr:row>
      <xdr:rowOff>139700</xdr:rowOff>
    </xdr:from>
    <xdr:to>
      <xdr:col>4</xdr:col>
      <xdr:colOff>82550</xdr:colOff>
      <xdr:row>12</xdr:row>
      <xdr:rowOff>139700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3B184BC-D702-772E-CF93-966C685CF9E4}"/>
            </a:ext>
          </a:extLst>
        </xdr:cNvPr>
        <xdr:cNvCxnSpPr/>
      </xdr:nvCxnSpPr>
      <xdr:spPr>
        <a:xfrm flipH="1">
          <a:off x="476250" y="2978150"/>
          <a:ext cx="2019300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307836</xdr:colOff>
      <xdr:row>12</xdr:row>
      <xdr:rowOff>214014</xdr:rowOff>
    </xdr:from>
    <xdr:to>
      <xdr:col>2</xdr:col>
      <xdr:colOff>307836</xdr:colOff>
      <xdr:row>14</xdr:row>
      <xdr:rowOff>172740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2800E56-0ECB-634E-FF4B-017055F5A89F}"/>
            </a:ext>
          </a:extLst>
        </xdr:cNvPr>
        <xdr:cNvSpPr txBox="1"/>
      </xdr:nvSpPr>
      <xdr:spPr>
        <a:xfrm>
          <a:off x="307836" y="3057600"/>
          <a:ext cx="1219402" cy="586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/>
            <a:t>Average Ticket</a:t>
          </a:r>
          <a:r>
            <a:rPr lang="fr-FR" sz="1100" b="1" baseline="0"/>
            <a:t> :</a:t>
          </a:r>
          <a:endParaRPr lang="fr-FR" sz="1100" b="1"/>
        </a:p>
        <a:p>
          <a:pPr algn="ctr"/>
          <a:r>
            <a:rPr lang="fr-FR" sz="1600" b="1"/>
            <a:t>78,2 CHF</a:t>
          </a:r>
          <a:endParaRPr lang="fr-FR" sz="1100" b="1"/>
        </a:p>
      </xdr:txBody>
    </xdr:sp>
    <xdr:clientData/>
  </xdr:twoCellAnchor>
  <xdr:twoCellAnchor>
    <xdr:from>
      <xdr:col>2</xdr:col>
      <xdr:colOff>271106</xdr:colOff>
      <xdr:row>12</xdr:row>
      <xdr:rowOff>217326</xdr:rowOff>
    </xdr:from>
    <xdr:to>
      <xdr:col>4</xdr:col>
      <xdr:colOff>290156</xdr:colOff>
      <xdr:row>14</xdr:row>
      <xdr:rowOff>155781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45A85B9-7E6A-162D-EC10-1BE907671533}"/>
            </a:ext>
          </a:extLst>
        </xdr:cNvPr>
        <xdr:cNvSpPr txBox="1"/>
      </xdr:nvSpPr>
      <xdr:spPr>
        <a:xfrm>
          <a:off x="1490306" y="3055776"/>
          <a:ext cx="1212850" cy="5671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/>
            <a:t>Best</a:t>
          </a:r>
          <a:r>
            <a:rPr lang="fr-FR" sz="1100" b="1" baseline="0"/>
            <a:t> Seller :</a:t>
          </a:r>
        </a:p>
        <a:p>
          <a:pPr algn="ctr"/>
          <a:r>
            <a:rPr lang="fr-FR" sz="1600" b="1" baseline="0"/>
            <a:t>Pisco Sour</a:t>
          </a:r>
          <a:endParaRPr lang="fr-FR" sz="1600" b="1"/>
        </a:p>
      </xdr:txBody>
    </xdr:sp>
    <xdr:clientData/>
  </xdr:twoCellAnchor>
  <xdr:twoCellAnchor>
    <xdr:from>
      <xdr:col>2</xdr:col>
      <xdr:colOff>284852</xdr:colOff>
      <xdr:row>12</xdr:row>
      <xdr:rowOff>148879</xdr:rowOff>
    </xdr:from>
    <xdr:to>
      <xdr:col>2</xdr:col>
      <xdr:colOff>293124</xdr:colOff>
      <xdr:row>14</xdr:row>
      <xdr:rowOff>183741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25B2619F-725B-3D3F-71B1-1509D1310260}"/>
            </a:ext>
          </a:extLst>
        </xdr:cNvPr>
        <xdr:cNvCxnSpPr/>
      </xdr:nvCxnSpPr>
      <xdr:spPr>
        <a:xfrm>
          <a:off x="1504052" y="2987329"/>
          <a:ext cx="8272" cy="66351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82550</xdr:colOff>
      <xdr:row>14</xdr:row>
      <xdr:rowOff>101600</xdr:rowOff>
    </xdr:from>
    <xdr:to>
      <xdr:col>21</xdr:col>
      <xdr:colOff>247650</xdr:colOff>
      <xdr:row>16</xdr:row>
      <xdr:rowOff>63500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87E79FD-F326-4901-B53D-4EF1631BABBD}"/>
            </a:ext>
          </a:extLst>
        </xdr:cNvPr>
        <xdr:cNvSpPr txBox="1"/>
      </xdr:nvSpPr>
      <xdr:spPr>
        <a:xfrm>
          <a:off x="10204450" y="3568700"/>
          <a:ext cx="3035300" cy="336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 TOP 5</a:t>
          </a:r>
          <a:r>
            <a:rPr lang="fr-FR" sz="1400" b="1" baseline="0"/>
            <a:t> LOWEST-SELLING PRODUCTS </a:t>
          </a:r>
          <a:r>
            <a:rPr lang="fr-FR" sz="1800" b="1">
              <a:solidFill>
                <a:srgbClr val="C00000"/>
              </a:solidFill>
            </a:rPr>
            <a:t>↓</a:t>
          </a:r>
          <a:r>
            <a:rPr lang="fr-FR" sz="1400" b="1" baseline="0"/>
            <a:t> </a:t>
          </a:r>
          <a:endParaRPr lang="fr-FR" sz="14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450850</xdr:colOff>
      <xdr:row>15</xdr:row>
      <xdr:rowOff>6966</xdr:rowOff>
    </xdr:from>
    <xdr:to>
      <xdr:col>4</xdr:col>
      <xdr:colOff>146050</xdr:colOff>
      <xdr:row>18</xdr:row>
      <xdr:rowOff>88696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8793AC7-EFDE-6730-4BA7-D5637557D0F4}"/>
            </a:ext>
          </a:extLst>
        </xdr:cNvPr>
        <xdr:cNvSpPr txBox="1"/>
      </xdr:nvSpPr>
      <xdr:spPr>
        <a:xfrm>
          <a:off x="450850" y="3664566"/>
          <a:ext cx="2108200" cy="634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Guests Served:</a:t>
          </a:r>
        </a:p>
        <a:p>
          <a:pPr algn="ctr"/>
          <a:r>
            <a:rPr lang="fr-FR" sz="1800" b="1"/>
            <a:t>28 784</a:t>
          </a:r>
        </a:p>
      </xdr:txBody>
    </xdr:sp>
    <xdr:clientData/>
  </xdr:twoCellAnchor>
  <xdr:twoCellAnchor>
    <xdr:from>
      <xdr:col>0</xdr:col>
      <xdr:colOff>479654</xdr:colOff>
      <xdr:row>14</xdr:row>
      <xdr:rowOff>182448</xdr:rowOff>
    </xdr:from>
    <xdr:to>
      <xdr:col>4</xdr:col>
      <xdr:colOff>117704</xdr:colOff>
      <xdr:row>14</xdr:row>
      <xdr:rowOff>182448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917D691-E2B9-D0C1-8F7D-FC9D56849B4A}"/>
            </a:ext>
          </a:extLst>
        </xdr:cNvPr>
        <xdr:cNvCxnSpPr/>
      </xdr:nvCxnSpPr>
      <xdr:spPr>
        <a:xfrm>
          <a:off x="479654" y="3649548"/>
          <a:ext cx="2051050" cy="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38100</xdr:colOff>
      <xdr:row>0</xdr:row>
      <xdr:rowOff>152400</xdr:rowOff>
    </xdr:from>
    <xdr:to>
      <xdr:col>20</xdr:col>
      <xdr:colOff>828675</xdr:colOff>
      <xdr:row>2</xdr:row>
      <xdr:rowOff>585343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361E4F0-81B5-DC5E-1899-73FECB0A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5100" y="152400"/>
          <a:ext cx="2619375" cy="801243"/>
        </a:xfrm>
        <a:prstGeom prst="rect">
          <a:avLst/>
        </a:prstGeom>
      </xdr:spPr>
    </xdr:pic>
    <xdr:clientData/>
  </xdr:twoCellAnchor>
  <xdr:twoCellAnchor>
    <xdr:from>
      <xdr:col>0</xdr:col>
      <xdr:colOff>311150</xdr:colOff>
      <xdr:row>3</xdr:row>
      <xdr:rowOff>63500</xdr:rowOff>
    </xdr:from>
    <xdr:to>
      <xdr:col>21</xdr:col>
      <xdr:colOff>234950</xdr:colOff>
      <xdr:row>3</xdr:row>
      <xdr:rowOff>63500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AA8EEA-D388-7207-7149-F4294F13905F}"/>
            </a:ext>
          </a:extLst>
        </xdr:cNvPr>
        <xdr:cNvCxnSpPr/>
      </xdr:nvCxnSpPr>
      <xdr:spPr>
        <a:xfrm>
          <a:off x="311150" y="965200"/>
          <a:ext cx="12915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298450</xdr:colOff>
      <xdr:row>19</xdr:row>
      <xdr:rowOff>44450</xdr:rowOff>
    </xdr:from>
    <xdr:to>
      <xdr:col>4</xdr:col>
      <xdr:colOff>660400</xdr:colOff>
      <xdr:row>26</xdr:row>
      <xdr:rowOff>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0D8C0FD-7619-6267-5EFA-EC3CC06F2C5B}"/>
            </a:ext>
          </a:extLst>
        </xdr:cNvPr>
        <xdr:cNvSpPr txBox="1"/>
      </xdr:nvSpPr>
      <xdr:spPr>
        <a:xfrm>
          <a:off x="298450" y="4438650"/>
          <a:ext cx="2774950" cy="1244600"/>
        </a:xfrm>
        <a:prstGeom prst="rect">
          <a:avLst/>
        </a:prstGeom>
        <a:solidFill>
          <a:schemeClr val="lt1"/>
        </a:solidFill>
        <a:ln w="19050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Key Insights: </a:t>
          </a:r>
        </a:p>
        <a:p>
          <a:endParaRPr lang="fr-FR" sz="1100"/>
        </a:p>
        <a:p>
          <a:r>
            <a:rPr lang="fr-FR" sz="1100" b="0"/>
            <a:t>- </a:t>
          </a:r>
          <a:r>
            <a:rPr lang="fr-FR" sz="1200" b="0"/>
            <a:t>Revenu</a:t>
          </a:r>
          <a:r>
            <a:rPr lang="fr-FR" sz="1200" b="0" baseline="0"/>
            <a:t> decreased by </a:t>
          </a:r>
          <a:r>
            <a:rPr lang="fr-FR" sz="1200" b="1" baseline="0"/>
            <a:t>7,63</a:t>
          </a:r>
          <a:r>
            <a:rPr lang="fr-FR" sz="1200" b="0" baseline="0"/>
            <a:t>% vs 2024</a:t>
          </a:r>
        </a:p>
        <a:p>
          <a:r>
            <a:rPr lang="fr-FR" sz="1200" b="0" baseline="0"/>
            <a:t>- Kitchen generated </a:t>
          </a:r>
          <a:r>
            <a:rPr lang="fr-FR" sz="1200" b="1" baseline="0"/>
            <a:t>60</a:t>
          </a:r>
          <a:r>
            <a:rPr lang="fr-FR" sz="1200" b="0" baseline="0"/>
            <a:t>% of the Revenue</a:t>
          </a:r>
        </a:p>
        <a:p>
          <a:r>
            <a:rPr lang="fr-FR" sz="1200" b="0" baseline="0"/>
            <a:t>- </a:t>
          </a:r>
          <a:r>
            <a:rPr lang="fr-FR" sz="1200" b="1" baseline="0"/>
            <a:t>Pisco Sour </a:t>
          </a:r>
          <a:r>
            <a:rPr lang="fr-FR" sz="1200" b="0" baseline="0"/>
            <a:t>was the best-selling product</a:t>
          </a:r>
        </a:p>
        <a:p>
          <a:r>
            <a:rPr lang="fr-FR" sz="1200" b="0" baseline="0"/>
            <a:t>- Peak revenue occured in </a:t>
          </a:r>
          <a:r>
            <a:rPr lang="fr-FR" sz="1200" b="1" baseline="0"/>
            <a:t>May (214K CHF)</a:t>
          </a:r>
          <a:endParaRPr lang="fr-FR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79FB-BE89-409F-B8BC-BCF1D5E2F06A}">
  <dimension ref="A2:N30"/>
  <sheetViews>
    <sheetView topLeftCell="A9" workbookViewId="0">
      <selection activeCell="B24" sqref="B24:E30"/>
    </sheetView>
  </sheetViews>
  <sheetFormatPr defaultRowHeight="14.5"/>
  <cols>
    <col min="2" max="2" width="24.90625" bestFit="1" customWidth="1"/>
    <col min="3" max="3" width="8.08984375" bestFit="1" customWidth="1"/>
    <col min="4" max="4" width="12.54296875" bestFit="1" customWidth="1"/>
    <col min="5" max="5" width="16.1796875" customWidth="1"/>
    <col min="6" max="13" width="13.36328125" bestFit="1" customWidth="1"/>
    <col min="14" max="14" width="12.453125" bestFit="1" customWidth="1"/>
  </cols>
  <sheetData>
    <row r="2" spans="1:14" ht="16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ht="16">
      <c r="B3" s="4">
        <v>1</v>
      </c>
      <c r="C3" s="4">
        <v>32</v>
      </c>
      <c r="D3" s="4">
        <v>61</v>
      </c>
      <c r="E3" s="4">
        <v>92</v>
      </c>
      <c r="F3" s="4">
        <v>122</v>
      </c>
      <c r="G3" s="4">
        <v>153</v>
      </c>
      <c r="H3" s="4">
        <v>183</v>
      </c>
      <c r="I3" s="4">
        <v>214</v>
      </c>
      <c r="J3" s="4">
        <v>245</v>
      </c>
      <c r="K3" s="4">
        <v>275</v>
      </c>
      <c r="L3" s="4">
        <v>306</v>
      </c>
      <c r="M3" s="4">
        <v>336</v>
      </c>
      <c r="N3" t="s">
        <v>1</v>
      </c>
    </row>
    <row r="4" spans="1:14">
      <c r="A4" s="1">
        <v>2024</v>
      </c>
      <c r="B4" s="6">
        <v>183416.71</v>
      </c>
      <c r="C4" s="6">
        <v>218425.37</v>
      </c>
      <c r="D4" s="6">
        <v>206798.39</v>
      </c>
      <c r="E4" s="6">
        <v>220888.46</v>
      </c>
      <c r="F4" s="6">
        <v>234998.1</v>
      </c>
      <c r="G4" s="6">
        <v>200826.09</v>
      </c>
      <c r="H4" s="6">
        <v>181579.37</v>
      </c>
      <c r="I4" s="6">
        <v>179336.66</v>
      </c>
      <c r="J4" s="6">
        <v>182483.6</v>
      </c>
      <c r="K4" s="6">
        <v>216249.56</v>
      </c>
      <c r="L4" s="6">
        <v>215766.17</v>
      </c>
      <c r="M4" s="6">
        <v>196170</v>
      </c>
      <c r="N4" s="7">
        <f>SUM(B4:M4)</f>
        <v>2436938.4800000004</v>
      </c>
    </row>
    <row r="5" spans="1:14">
      <c r="A5" s="1">
        <v>2025</v>
      </c>
      <c r="B5" s="6">
        <v>161668</v>
      </c>
      <c r="C5" s="6">
        <v>199548</v>
      </c>
      <c r="D5" s="6">
        <v>205438</v>
      </c>
      <c r="E5" s="6">
        <v>202063</v>
      </c>
      <c r="F5" s="6">
        <v>214452</v>
      </c>
      <c r="G5" s="6">
        <v>164934</v>
      </c>
      <c r="H5" s="6">
        <v>173722</v>
      </c>
      <c r="I5" s="6">
        <v>152801</v>
      </c>
      <c r="J5" s="6">
        <v>194110</v>
      </c>
      <c r="K5" s="6">
        <v>199845</v>
      </c>
      <c r="L5" s="6">
        <v>185973</v>
      </c>
      <c r="M5" s="6">
        <v>196333</v>
      </c>
      <c r="N5" s="7">
        <f>SUM(B5:M5)</f>
        <v>2250887</v>
      </c>
    </row>
    <row r="8" spans="1:14">
      <c r="B8" t="s">
        <v>2</v>
      </c>
      <c r="C8" t="s">
        <v>3</v>
      </c>
    </row>
    <row r="9" spans="1:14">
      <c r="B9">
        <v>2250887</v>
      </c>
      <c r="C9" s="5">
        <v>2436938.4800000004</v>
      </c>
      <c r="M9" s="9"/>
    </row>
    <row r="10" spans="1:14">
      <c r="B10" s="10">
        <f>(B9-C9)/C9</f>
        <v>-7.6346400012527363E-2</v>
      </c>
      <c r="C10" s="10">
        <f>(C9-B9)/B9</f>
        <v>8.265696145563968E-2</v>
      </c>
      <c r="M10" s="9"/>
    </row>
    <row r="11" spans="1:14">
      <c r="I11" s="1" t="s">
        <v>16</v>
      </c>
      <c r="J11" s="1" t="s">
        <v>20</v>
      </c>
      <c r="K11" s="1" t="s">
        <v>4</v>
      </c>
      <c r="L11" s="1" t="s">
        <v>5</v>
      </c>
      <c r="M11" s="1" t="s">
        <v>13</v>
      </c>
    </row>
    <row r="12" spans="1:14">
      <c r="I12" t="s">
        <v>17</v>
      </c>
      <c r="J12">
        <v>79</v>
      </c>
      <c r="K12" s="16">
        <v>74615.169699999999</v>
      </c>
      <c r="L12" s="7">
        <v>1623281.55</v>
      </c>
      <c r="M12" s="9">
        <v>0.59747180757133111</v>
      </c>
    </row>
    <row r="13" spans="1:14">
      <c r="I13" t="s">
        <v>18</v>
      </c>
      <c r="J13">
        <v>429</v>
      </c>
      <c r="K13" s="16">
        <v>69672.506800000003</v>
      </c>
      <c r="L13" s="7">
        <v>1081885.8500000001</v>
      </c>
      <c r="M13" s="9">
        <v>0.39820343820537207</v>
      </c>
    </row>
    <row r="14" spans="1:14">
      <c r="A14" t="s">
        <v>22</v>
      </c>
    </row>
    <row r="15" spans="1:14">
      <c r="B15" s="15" t="s">
        <v>12</v>
      </c>
      <c r="C15" s="15" t="s">
        <v>4</v>
      </c>
      <c r="D15" s="15" t="s">
        <v>5</v>
      </c>
      <c r="E15" s="15" t="s">
        <v>6</v>
      </c>
    </row>
    <row r="16" spans="1:14">
      <c r="B16" s="11" t="s">
        <v>7</v>
      </c>
      <c r="C16" s="13">
        <v>5631.1670000000004</v>
      </c>
      <c r="D16" s="12">
        <v>221187.35</v>
      </c>
      <c r="E16" s="14">
        <v>8.1411142642761294E-2</v>
      </c>
    </row>
    <row r="17" spans="1:12">
      <c r="B17" s="11" t="s">
        <v>8</v>
      </c>
      <c r="C17" s="13">
        <v>11749.669</v>
      </c>
      <c r="D17" s="12">
        <v>210974</v>
      </c>
      <c r="E17" s="14">
        <v>7.7651974255823902E-2</v>
      </c>
    </row>
    <row r="18" spans="1:12">
      <c r="B18" s="11" t="s">
        <v>9</v>
      </c>
      <c r="C18" s="13">
        <v>2823.3359</v>
      </c>
      <c r="D18" s="12">
        <v>78839.850000000006</v>
      </c>
      <c r="E18" s="14">
        <v>2.9018125468223702E-2</v>
      </c>
    </row>
    <row r="19" spans="1:12">
      <c r="B19" s="11" t="s">
        <v>10</v>
      </c>
      <c r="C19" s="13">
        <v>5483.335</v>
      </c>
      <c r="D19" s="12">
        <v>74839.100000000006</v>
      </c>
      <c r="E19" s="14">
        <v>2.7545592663214599E-2</v>
      </c>
    </row>
    <row r="20" spans="1:12">
      <c r="B20" s="11" t="s">
        <v>11</v>
      </c>
      <c r="C20" s="13">
        <v>3056.5</v>
      </c>
      <c r="D20" s="12">
        <v>71491.5</v>
      </c>
      <c r="E20" s="14">
        <v>2.6313460983392399E-2</v>
      </c>
    </row>
    <row r="23" spans="1:12">
      <c r="A23" t="s">
        <v>23</v>
      </c>
      <c r="B23" s="15"/>
      <c r="C23" s="15"/>
      <c r="D23" s="15"/>
      <c r="E23" s="15"/>
      <c r="F23" s="15"/>
    </row>
    <row r="24" spans="1:12">
      <c r="B24" s="15" t="s">
        <v>12</v>
      </c>
      <c r="C24" s="15" t="s">
        <v>4</v>
      </c>
      <c r="D24" s="15" t="s">
        <v>5</v>
      </c>
      <c r="E24" s="15" t="s">
        <v>6</v>
      </c>
      <c r="I24" s="15"/>
      <c r="J24" s="15"/>
      <c r="K24" s="15"/>
      <c r="L24" s="15"/>
    </row>
    <row r="25" spans="1:12">
      <c r="B25" t="s">
        <v>24</v>
      </c>
      <c r="C25">
        <v>732</v>
      </c>
      <c r="D25">
        <v>14589.8</v>
      </c>
      <c r="E25" s="10">
        <v>5.36998290783518E-3</v>
      </c>
    </row>
    <row r="26" spans="1:12">
      <c r="B26" t="s">
        <v>25</v>
      </c>
      <c r="C26">
        <v>698</v>
      </c>
      <c r="D26">
        <v>13881.45</v>
      </c>
      <c r="E26" s="10">
        <v>5.1092646394034699E-3</v>
      </c>
    </row>
    <row r="27" spans="1:12">
      <c r="B27" t="s">
        <v>26</v>
      </c>
      <c r="C27">
        <v>346</v>
      </c>
      <c r="D27">
        <v>13698</v>
      </c>
      <c r="E27" s="10">
        <v>5.0417432638916503E-3</v>
      </c>
    </row>
    <row r="28" spans="1:12">
      <c r="B28" t="s">
        <v>27</v>
      </c>
      <c r="C28">
        <v>1057</v>
      </c>
      <c r="D28">
        <v>13684.4</v>
      </c>
      <c r="E28" s="10">
        <v>5.0367375909182999E-3</v>
      </c>
    </row>
    <row r="29" spans="1:12">
      <c r="B29" t="s">
        <v>28</v>
      </c>
      <c r="C29">
        <v>301</v>
      </c>
      <c r="D29">
        <v>13541.55</v>
      </c>
      <c r="E29" s="10">
        <v>4.9841596214886801E-3</v>
      </c>
    </row>
    <row r="30" spans="1:12">
      <c r="B30" t="s">
        <v>29</v>
      </c>
      <c r="C30">
        <v>392</v>
      </c>
      <c r="D30">
        <v>13239.6</v>
      </c>
      <c r="E30" s="10">
        <v>4.8730226395546699E-3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2F15-5DC6-4C7E-96D0-01923B7BB1B8}">
  <sheetPr>
    <pageSetUpPr fitToPage="1"/>
  </sheetPr>
  <dimension ref="B3:U23"/>
  <sheetViews>
    <sheetView showGridLines="0" tabSelected="1" zoomScaleNormal="100" workbookViewId="0">
      <selection activeCell="J28" sqref="J28"/>
    </sheetView>
  </sheetViews>
  <sheetFormatPr defaultRowHeight="14.5"/>
  <cols>
    <col min="3" max="3" width="7.26953125" customWidth="1"/>
    <col min="4" max="4" width="9.81640625" customWidth="1"/>
    <col min="5" max="5" width="20.453125" customWidth="1"/>
    <col min="6" max="6" width="7.81640625" customWidth="1"/>
    <col min="7" max="7" width="12.08984375" customWidth="1"/>
    <col min="8" max="8" width="11.7265625" customWidth="1"/>
    <col min="9" max="9" width="15.81640625" customWidth="1"/>
    <col min="10" max="10" width="16.54296875" bestFit="1" customWidth="1"/>
    <col min="13" max="13" width="4.6328125" customWidth="1"/>
    <col min="14" max="14" width="3.81640625" customWidth="1"/>
    <col min="15" max="15" width="1.81640625" customWidth="1"/>
    <col min="16" max="16" width="0.54296875" customWidth="1"/>
    <col min="17" max="17" width="2.7265625" hidden="1" customWidth="1"/>
    <col min="18" max="18" width="1.7265625" customWidth="1"/>
    <col min="19" max="19" width="16.36328125" bestFit="1" customWidth="1"/>
    <col min="20" max="20" width="8.08984375" bestFit="1" customWidth="1"/>
    <col min="21" max="21" width="12.54296875" bestFit="1" customWidth="1"/>
    <col min="22" max="22" width="8.81640625" bestFit="1" customWidth="1"/>
  </cols>
  <sheetData>
    <row r="3" spans="2:21" ht="56" customHeight="1"/>
    <row r="7" spans="2:21" ht="18.5">
      <c r="B7" s="8"/>
      <c r="S7" s="17" t="s">
        <v>15</v>
      </c>
      <c r="T7" s="17" t="s">
        <v>4</v>
      </c>
      <c r="U7" s="17" t="s">
        <v>5</v>
      </c>
    </row>
    <row r="8" spans="2:21" ht="18.5">
      <c r="B8" s="8"/>
      <c r="S8" s="18" t="s">
        <v>7</v>
      </c>
      <c r="T8" s="18">
        <v>5631.1670000000004</v>
      </c>
      <c r="U8" s="19">
        <v>221187.35</v>
      </c>
    </row>
    <row r="9" spans="2:21">
      <c r="C9" s="7"/>
      <c r="S9" s="18" t="s">
        <v>8</v>
      </c>
      <c r="T9" s="18">
        <v>11749.669</v>
      </c>
      <c r="U9" s="19">
        <v>210974</v>
      </c>
    </row>
    <row r="10" spans="2:21">
      <c r="S10" s="18" t="s">
        <v>14</v>
      </c>
      <c r="T10" s="18">
        <v>2823.3359</v>
      </c>
      <c r="U10" s="19">
        <v>78839.850000000006</v>
      </c>
    </row>
    <row r="11" spans="2:21">
      <c r="S11" s="18" t="s">
        <v>10</v>
      </c>
      <c r="T11" s="18">
        <v>5483.335</v>
      </c>
      <c r="U11" s="19">
        <v>74839.100000000006</v>
      </c>
    </row>
    <row r="12" spans="2:21">
      <c r="S12" s="18" t="s">
        <v>11</v>
      </c>
      <c r="T12" s="18">
        <v>3056.5</v>
      </c>
      <c r="U12" s="19">
        <v>71491.5</v>
      </c>
    </row>
    <row r="13" spans="2:21" ht="33.5" customHeight="1"/>
    <row r="14" spans="2:21" ht="16" customHeight="1"/>
    <row r="15" spans="2:21" ht="15" customHeight="1"/>
    <row r="17" spans="6:21" ht="10.5" customHeight="1"/>
    <row r="18" spans="6:21" ht="18.5" customHeight="1">
      <c r="S18" s="17" t="s">
        <v>15</v>
      </c>
      <c r="T18" s="17" t="s">
        <v>4</v>
      </c>
      <c r="U18" s="17" t="s">
        <v>5</v>
      </c>
    </row>
    <row r="19" spans="6:21">
      <c r="S19" s="18" t="s">
        <v>24</v>
      </c>
      <c r="T19" s="18">
        <v>732</v>
      </c>
      <c r="U19" s="19">
        <v>14589.8</v>
      </c>
    </row>
    <row r="20" spans="6:21">
      <c r="F20" s="20" t="s">
        <v>19</v>
      </c>
      <c r="G20" s="20" t="s">
        <v>20</v>
      </c>
      <c r="H20" s="20" t="s">
        <v>4</v>
      </c>
      <c r="I20" s="20" t="s">
        <v>5</v>
      </c>
      <c r="J20" s="1"/>
      <c r="S20" s="18" t="s">
        <v>25</v>
      </c>
      <c r="T20" s="18">
        <v>698</v>
      </c>
      <c r="U20" s="19">
        <v>13881.45</v>
      </c>
    </row>
    <row r="21" spans="6:21">
      <c r="F21" s="21" t="s">
        <v>21</v>
      </c>
      <c r="G21" s="21">
        <v>79</v>
      </c>
      <c r="H21" s="22">
        <v>74615.169699999999</v>
      </c>
      <c r="I21" s="23">
        <v>1623281.55</v>
      </c>
      <c r="J21" s="9"/>
      <c r="S21" s="18" t="s">
        <v>27</v>
      </c>
      <c r="T21" s="18">
        <v>1057</v>
      </c>
      <c r="U21" s="19">
        <v>13684.4</v>
      </c>
    </row>
    <row r="22" spans="6:21">
      <c r="F22" s="24" t="s">
        <v>18</v>
      </c>
      <c r="G22" s="24">
        <v>429</v>
      </c>
      <c r="H22" s="25">
        <v>69672.506800000003</v>
      </c>
      <c r="I22" s="26">
        <v>1081885.8500000001</v>
      </c>
      <c r="J22" s="9"/>
      <c r="S22" s="18" t="s">
        <v>28</v>
      </c>
      <c r="T22" s="18">
        <v>301</v>
      </c>
      <c r="U22" s="19">
        <v>13541.55</v>
      </c>
    </row>
    <row r="23" spans="6:21">
      <c r="S23" s="18" t="s">
        <v>29</v>
      </c>
      <c r="T23" s="18">
        <v>392</v>
      </c>
      <c r="U23" s="19">
        <v>13239.6</v>
      </c>
    </row>
  </sheetData>
  <sheetProtection sheet="1" objects="1" scenarios="1"/>
  <pageMargins left="0.25" right="0.25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Prep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Orlhac</dc:creator>
  <cp:lastModifiedBy>Maxime Orlhac</cp:lastModifiedBy>
  <cp:lastPrinted>2026-08-05T12:09:42Z</cp:lastPrinted>
  <dcterms:created xsi:type="dcterms:W3CDTF">2026-08-05T08:41:21Z</dcterms:created>
  <dcterms:modified xsi:type="dcterms:W3CDTF">2026-08-05T12:15:08Z</dcterms:modified>
</cp:coreProperties>
</file>